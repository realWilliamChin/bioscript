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28" i="1" l="1"/>
  <c r="K24" i="1"/>
  <c r="K20" i="1"/>
  <c r="K15" i="1"/>
  <c r="K10" i="1"/>
</calcChain>
</file>

<file path=xl/sharedStrings.xml><?xml version="1.0" encoding="utf-8"?>
<sst xmlns="http://schemas.openxmlformats.org/spreadsheetml/2006/main" count="37" uniqueCount="18">
  <si>
    <t>Observed</t>
  </si>
  <si>
    <t>Chao1</t>
  </si>
  <si>
    <t>Shannon</t>
  </si>
  <si>
    <t>Pielou</t>
  </si>
  <si>
    <t>Simpson</t>
  </si>
  <si>
    <t>Insimpson</t>
  </si>
  <si>
    <t>g</t>
  </si>
  <si>
    <t>A</t>
  </si>
  <si>
    <t>B</t>
  </si>
  <si>
    <t>C</t>
  </si>
  <si>
    <t>D</t>
  </si>
  <si>
    <t>E</t>
  </si>
  <si>
    <t>F</t>
  </si>
  <si>
    <t>G</t>
  </si>
  <si>
    <t>shannnon</t>
  </si>
  <si>
    <t>simpson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</si>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</sst>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N15" sqref="N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14115</v>
      </c>
      <c r="B2">
        <v>14115</v>
      </c>
      <c r="C2" s="1">
        <v>5.0127532233433501</v>
      </c>
      <c r="D2">
        <v>0.524621320456371</v>
      </c>
      <c r="E2">
        <v>0.95128806006939204</v>
      </c>
      <c r="F2">
        <v>20.5288477819715</v>
      </c>
      <c r="G2" t="s">
        <v>7</v>
      </c>
    </row>
    <row r="3" spans="1:11" x14ac:dyDescent="0.3">
      <c r="A3">
        <v>14714</v>
      </c>
      <c r="B3">
        <v>14714.090909090901</v>
      </c>
      <c r="C3" s="1">
        <v>5.0393121468540203</v>
      </c>
      <c r="D3">
        <v>0.52511680536719696</v>
      </c>
      <c r="E3">
        <v>0.95319493816559397</v>
      </c>
      <c r="F3">
        <v>21.365210530817201</v>
      </c>
      <c r="G3" t="s">
        <v>7</v>
      </c>
    </row>
    <row r="4" spans="1:11" x14ac:dyDescent="0.3">
      <c r="A4">
        <v>13733</v>
      </c>
      <c r="B4">
        <v>13733</v>
      </c>
      <c r="C4" s="1">
        <v>4.9796311748042603</v>
      </c>
      <c r="D4">
        <v>0.52265561760650203</v>
      </c>
      <c r="E4">
        <v>0.94985588766650997</v>
      </c>
      <c r="F4">
        <v>19.942520736021098</v>
      </c>
      <c r="G4" t="s">
        <v>7</v>
      </c>
    </row>
    <row r="5" spans="1:11" x14ac:dyDescent="0.3">
      <c r="A5">
        <v>14793</v>
      </c>
      <c r="B5">
        <v>14793</v>
      </c>
      <c r="C5">
        <v>5.0598880002454196</v>
      </c>
      <c r="D5">
        <v>0.52696685655838205</v>
      </c>
      <c r="E5">
        <v>0.95696324085499196</v>
      </c>
      <c r="F5">
        <v>23.2359503797814</v>
      </c>
      <c r="G5" t="s">
        <v>8</v>
      </c>
    </row>
    <row r="6" spans="1:11" x14ac:dyDescent="0.3">
      <c r="A6">
        <v>13971</v>
      </c>
      <c r="B6">
        <v>13971</v>
      </c>
      <c r="C6">
        <v>5.0418918584246999</v>
      </c>
      <c r="D6">
        <v>0.52823779065155396</v>
      </c>
      <c r="E6">
        <v>0.95630344255091504</v>
      </c>
      <c r="F6">
        <v>22.885098011787399</v>
      </c>
      <c r="G6" t="s">
        <v>8</v>
      </c>
    </row>
    <row r="7" spans="1:11" x14ac:dyDescent="0.3">
      <c r="A7">
        <v>14937</v>
      </c>
      <c r="B7">
        <v>14937.75</v>
      </c>
      <c r="C7">
        <v>5.13648868450717</v>
      </c>
      <c r="D7">
        <v>0.53440535213859897</v>
      </c>
      <c r="E7">
        <v>0.96022226894954998</v>
      </c>
      <c r="F7">
        <v>25.139694336303702</v>
      </c>
      <c r="G7" t="s">
        <v>8</v>
      </c>
    </row>
    <row r="8" spans="1:11" x14ac:dyDescent="0.3">
      <c r="A8">
        <v>14997</v>
      </c>
      <c r="B8">
        <v>14997.125</v>
      </c>
      <c r="C8">
        <v>5.1349476266161203</v>
      </c>
      <c r="D8">
        <v>0.53402228782507699</v>
      </c>
      <c r="E8">
        <v>0.96040678079428199</v>
      </c>
      <c r="F8">
        <v>25.256850037987999</v>
      </c>
      <c r="G8" t="s">
        <v>9</v>
      </c>
    </row>
    <row r="9" spans="1:11" x14ac:dyDescent="0.3">
      <c r="A9">
        <v>14367</v>
      </c>
      <c r="B9">
        <v>14367</v>
      </c>
      <c r="C9">
        <v>5.0903652733126501</v>
      </c>
      <c r="D9">
        <v>0.53175917161880704</v>
      </c>
      <c r="E9">
        <v>0.95912073581386503</v>
      </c>
      <c r="F9">
        <v>24.462279835730602</v>
      </c>
      <c r="G9" t="s">
        <v>9</v>
      </c>
      <c r="I9" t="s">
        <v>14</v>
      </c>
      <c r="K9" t="s">
        <v>16</v>
      </c>
    </row>
    <row r="10" spans="1:11" x14ac:dyDescent="0.3">
      <c r="A10">
        <v>14563</v>
      </c>
      <c r="B10">
        <v>14563</v>
      </c>
      <c r="C10">
        <v>5.1027075534942803</v>
      </c>
      <c r="D10">
        <v>0.53229502937783202</v>
      </c>
      <c r="E10">
        <v>0.95941014788122503</v>
      </c>
      <c r="F10">
        <v>24.6366997611565</v>
      </c>
      <c r="G10" t="s">
        <v>9</v>
      </c>
      <c r="I10" s="1">
        <v>5.0127532233433501</v>
      </c>
      <c r="J10" s="1">
        <v>5.1811452863216001</v>
      </c>
      <c r="K10">
        <f>_xlfn.T.TEST(I10:I12,J10:J12,2,1)</f>
        <v>1.5884491875161229E-2</v>
      </c>
    </row>
    <row r="11" spans="1:11" x14ac:dyDescent="0.3">
      <c r="A11">
        <v>14373</v>
      </c>
      <c r="B11">
        <v>14373</v>
      </c>
      <c r="C11">
        <v>5.1166655516084996</v>
      </c>
      <c r="D11">
        <v>0.53448328722292404</v>
      </c>
      <c r="E11">
        <v>0.96161329805593798</v>
      </c>
      <c r="F11">
        <v>26.050688112181</v>
      </c>
      <c r="G11" t="s">
        <v>10</v>
      </c>
      <c r="I11" s="1">
        <v>5.0393121468540203</v>
      </c>
      <c r="J11" s="1">
        <v>5.2952538049687403</v>
      </c>
    </row>
    <row r="12" spans="1:11" x14ac:dyDescent="0.3">
      <c r="A12">
        <v>14067</v>
      </c>
      <c r="B12">
        <v>14067</v>
      </c>
      <c r="C12">
        <v>5.1332394377663899</v>
      </c>
      <c r="D12">
        <v>0.53742268037128305</v>
      </c>
      <c r="E12">
        <v>0.96127797795119396</v>
      </c>
      <c r="F12">
        <v>25.825097634094899</v>
      </c>
      <c r="G12" t="s">
        <v>10</v>
      </c>
      <c r="I12" s="1">
        <v>4.9796311748042603</v>
      </c>
      <c r="J12" s="1">
        <v>5.2334396536172898</v>
      </c>
    </row>
    <row r="13" spans="1:11" x14ac:dyDescent="0.3">
      <c r="A13">
        <v>14626</v>
      </c>
      <c r="B13">
        <v>14626</v>
      </c>
      <c r="C13">
        <v>5.1000004582436</v>
      </c>
      <c r="D13">
        <v>0.53177317705792704</v>
      </c>
      <c r="E13">
        <v>0.96053718787561304</v>
      </c>
      <c r="F13">
        <v>25.3403127189214</v>
      </c>
      <c r="G13" t="s">
        <v>10</v>
      </c>
    </row>
    <row r="14" spans="1:11" x14ac:dyDescent="0.3">
      <c r="A14">
        <v>14083</v>
      </c>
      <c r="B14">
        <v>14083</v>
      </c>
      <c r="C14">
        <v>5.0401791321007101</v>
      </c>
      <c r="D14">
        <v>0.52761697118766704</v>
      </c>
      <c r="E14">
        <v>0.95501995279391005</v>
      </c>
      <c r="F14">
        <v>22.232079824598401</v>
      </c>
      <c r="G14" t="s">
        <v>11</v>
      </c>
      <c r="I14" t="s">
        <v>15</v>
      </c>
      <c r="K14" t="s">
        <v>16</v>
      </c>
    </row>
    <row r="15" spans="1:11" x14ac:dyDescent="0.3">
      <c r="A15">
        <v>14247</v>
      </c>
      <c r="B15">
        <v>14247</v>
      </c>
      <c r="C15">
        <v>5.0604692963992601</v>
      </c>
      <c r="D15">
        <v>0.52909971771568098</v>
      </c>
      <c r="E15">
        <v>0.95660030952354802</v>
      </c>
      <c r="F15">
        <v>23.041638984559</v>
      </c>
      <c r="G15" t="s">
        <v>11</v>
      </c>
      <c r="I15">
        <v>0.95128806006939204</v>
      </c>
      <c r="J15">
        <v>0.96280757002151296</v>
      </c>
      <c r="K15">
        <f>_xlfn.T.TEST(I15:I17,J15:J17,2,1)</f>
        <v>5.6701237618672238E-3</v>
      </c>
    </row>
    <row r="16" spans="1:11" x14ac:dyDescent="0.3">
      <c r="A16">
        <v>13335</v>
      </c>
      <c r="B16">
        <v>13335</v>
      </c>
      <c r="C16">
        <v>5.0496140884755203</v>
      </c>
      <c r="D16">
        <v>0.53164199883956897</v>
      </c>
      <c r="E16">
        <v>0.95529917465069603</v>
      </c>
      <c r="F16">
        <v>22.370951591737601</v>
      </c>
      <c r="G16" t="s">
        <v>11</v>
      </c>
      <c r="I16">
        <v>0.95319493816559397</v>
      </c>
      <c r="J16">
        <v>0.96771777166990003</v>
      </c>
    </row>
    <row r="17" spans="1:11" x14ac:dyDescent="0.3">
      <c r="A17">
        <v>14749</v>
      </c>
      <c r="B17">
        <v>14749</v>
      </c>
      <c r="C17" s="1">
        <v>5.1811452863216001</v>
      </c>
      <c r="D17">
        <v>0.53976276340290097</v>
      </c>
      <c r="E17">
        <v>0.96280757002151296</v>
      </c>
      <c r="F17">
        <v>26.887191844641901</v>
      </c>
      <c r="G17" t="s">
        <v>12</v>
      </c>
      <c r="I17">
        <v>0.94985588766650997</v>
      </c>
      <c r="J17">
        <v>0.96452417209327401</v>
      </c>
    </row>
    <row r="18" spans="1:11" x14ac:dyDescent="0.3">
      <c r="A18">
        <v>14531</v>
      </c>
      <c r="B18">
        <v>14531</v>
      </c>
      <c r="C18" s="1">
        <v>5.2952538049687403</v>
      </c>
      <c r="D18">
        <v>0.55250750607282895</v>
      </c>
      <c r="E18">
        <v>0.96771777166990003</v>
      </c>
      <c r="F18">
        <v>30.976795956418002</v>
      </c>
      <c r="G18" t="s">
        <v>12</v>
      </c>
    </row>
    <row r="19" spans="1:11" x14ac:dyDescent="0.3">
      <c r="A19">
        <v>14983</v>
      </c>
      <c r="B19">
        <v>14983</v>
      </c>
      <c r="C19" s="1">
        <v>5.2334396536172898</v>
      </c>
      <c r="D19">
        <v>0.54431809255433605</v>
      </c>
      <c r="E19">
        <v>0.96452417209327401</v>
      </c>
      <c r="F19">
        <v>28.188207548791201</v>
      </c>
      <c r="G19" t="s">
        <v>12</v>
      </c>
      <c r="I19" t="s">
        <v>0</v>
      </c>
      <c r="K19" t="s">
        <v>17</v>
      </c>
    </row>
    <row r="20" spans="1:11" x14ac:dyDescent="0.3">
      <c r="A20">
        <v>15338</v>
      </c>
      <c r="B20">
        <v>15338</v>
      </c>
      <c r="C20">
        <v>5.31352974981026</v>
      </c>
      <c r="D20">
        <v>0.55130533881129895</v>
      </c>
      <c r="E20">
        <v>0.96834919112168005</v>
      </c>
      <c r="F20">
        <v>31.594769152486901</v>
      </c>
      <c r="G20" t="s">
        <v>13</v>
      </c>
      <c r="I20">
        <v>14115</v>
      </c>
      <c r="J20">
        <v>14749</v>
      </c>
      <c r="K20">
        <f>_xlfn.T.TEST(I20:I22,J20:J22,2,2)</f>
        <v>0.14517544436924801</v>
      </c>
    </row>
    <row r="21" spans="1:11" x14ac:dyDescent="0.3">
      <c r="A21">
        <v>14687</v>
      </c>
      <c r="B21">
        <v>14687</v>
      </c>
      <c r="C21">
        <v>5.2350909386984696</v>
      </c>
      <c r="D21">
        <v>0.54562217707235905</v>
      </c>
      <c r="E21">
        <v>0.96476677694953294</v>
      </c>
      <c r="F21">
        <v>28.382302651324899</v>
      </c>
      <c r="G21" t="s">
        <v>13</v>
      </c>
      <c r="I21">
        <v>14714</v>
      </c>
      <c r="J21">
        <v>14531</v>
      </c>
    </row>
    <row r="22" spans="1:11" x14ac:dyDescent="0.3">
      <c r="A22">
        <v>14427</v>
      </c>
      <c r="B22">
        <v>14427</v>
      </c>
      <c r="C22">
        <v>5.4574329940098298</v>
      </c>
      <c r="D22">
        <v>0.56985638899087199</v>
      </c>
      <c r="E22">
        <v>0.97260031319393303</v>
      </c>
      <c r="F22">
        <v>36.4967675389113</v>
      </c>
      <c r="G22" t="s">
        <v>13</v>
      </c>
      <c r="I22">
        <v>13733</v>
      </c>
      <c r="J22">
        <v>14983</v>
      </c>
    </row>
    <row r="23" spans="1:11" x14ac:dyDescent="0.3">
      <c r="I23" t="s">
        <v>1</v>
      </c>
    </row>
    <row r="24" spans="1:11" x14ac:dyDescent="0.3">
      <c r="I24">
        <v>14115</v>
      </c>
      <c r="J24">
        <v>14749</v>
      </c>
      <c r="K24">
        <f>_xlfn.T.TEST(I24:I26,J24:J26,2,1)</f>
        <v>0.30525553809646189</v>
      </c>
    </row>
    <row r="25" spans="1:11" x14ac:dyDescent="0.3">
      <c r="I25">
        <v>14714.090909090901</v>
      </c>
      <c r="J25">
        <v>14531</v>
      </c>
    </row>
    <row r="26" spans="1:11" x14ac:dyDescent="0.3">
      <c r="I26">
        <v>13733</v>
      </c>
      <c r="J26">
        <v>14983</v>
      </c>
    </row>
    <row r="27" spans="1:11" x14ac:dyDescent="0.3">
      <c r="I27" t="s">
        <v>3</v>
      </c>
      <c r="K27" t="s">
        <v>16</v>
      </c>
    </row>
    <row r="28" spans="1:11" x14ac:dyDescent="0.3">
      <c r="I28">
        <v>0.524621320456371</v>
      </c>
      <c r="J28">
        <v>0.53976276340290097</v>
      </c>
      <c r="K28">
        <f>_xlfn.T.TEST(I28:I30,J28:J30,2,1)</f>
        <v>2.6272839556633881E-2</v>
      </c>
    </row>
    <row r="29" spans="1:11" x14ac:dyDescent="0.3">
      <c r="I29">
        <v>0.52511680536719696</v>
      </c>
      <c r="J29">
        <v>0.55250750607282895</v>
      </c>
    </row>
    <row r="30" spans="1:11" x14ac:dyDescent="0.3">
      <c r="I30">
        <v>0.52265561760650203</v>
      </c>
      <c r="J30">
        <v>0.54431809255433605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2023-03-21T05:40:39Z</dcterms:modified>
</cp:coreProperties>
</file>